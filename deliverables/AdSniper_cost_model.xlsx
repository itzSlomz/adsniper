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CostModel" sheetId="2" state="visible" r:id="rId4"/>
    <sheet name="Pricin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<sst xmlns="http://schemas.openxmlformats.org/spreadsheetml/2006/main" count="69" uniqueCount="60">
  <si>
    <t xml:space="preserve">AdSniper — operating-cost assumptions (per dedicated customer instance, monthly USD)</t>
  </si>
  <si>
    <t xml:space="preserve">MODELED, not yet reconciled against a real invoice. Provider figures are the Gate-2 pilot's job; every rate below is a documented baseline or public list price. Blue = input you can change; yellow = key lever.</t>
  </si>
  <si>
    <t xml:space="preserve">Cost line</t>
  </si>
  <si>
    <t xml:space="preserve">Base</t>
  </si>
  <si>
    <t xml:space="preserve">High</t>
  </si>
  <si>
    <t xml:space="preserve">Basis / source</t>
  </si>
  <si>
    <t xml:space="preserve">Ads provider — Meta+Google, per tracked brand</t>
  </si>
  <si>
    <t xml:space="preserve">Modeled from README baseline ($60–120/mo at 100-ad caps, 9 brands, 3 libraries); scaled to 2 libraries. Reconcile in the Gate-2 pilot.</t>
  </si>
  <si>
    <t xml:space="preserve">Organic provider — X+LinkedIn posts, per tracked brand</t>
  </si>
  <si>
    <t xml:space="preserve">README: X ~$3–6/mo, LinkedIn ~$2–4/mo across the brand set. Secondary module.</t>
  </si>
  <si>
    <t xml:space="preserve">Apify subscription floor (dedicated token, Starter)</t>
  </si>
  <si>
    <t xml:space="preserve">apify.com/pricing — Starter $19/mo incl. $19 usage credit; usage above draws overage.</t>
  </si>
  <si>
    <t xml:space="preserve">Hosting — Railway app service + Postgres + volume</t>
  </si>
  <si>
    <t xml:space="preserve">railway.com/pricing usage rates: RAM $0.00000386/GB/s, vCPU $0.00000772/vCPU/s. Small always-on Node + Postgres.</t>
  </si>
  <si>
    <t xml:space="preserve">Storage — Cloudflare R2 (per instance)</t>
  </si>
  <si>
    <t xml:space="preserve">R2 $0.015/GB-mo, egress free, 10 GB free tier. ~0.5–1.5 GB/mo media growth.</t>
  </si>
  <si>
    <t xml:space="preserve">AI briefings — Anthropic (per instance)</t>
  </si>
  <si>
    <t xml:space="preserve">Claude Sonnet 5 $2/$10 per MTok. Daily+weekly briefs are small; optional (facts-only fallback if unset).</t>
  </si>
  <si>
    <t xml:space="preserve">Email — Resend (per instance)</t>
  </si>
  <si>
    <t xml:space="preserve">resend.com/pricing free 3,000/mo covers login magic links; one account serves the fleet.</t>
  </si>
  <si>
    <t xml:space="preserve">Support — internal operator effort (per instance)</t>
  </si>
  <si>
    <t xml:space="preserve">ESTIMATE, internal labor not cash. Onboarding + ongoing support. Confirm with the first real onboarding (Gate 5).</t>
  </si>
  <si>
    <t xml:space="preserve">USD → SAR peg</t>
  </si>
  <si>
    <t xml:space="preserve">Annual operating cost per instance — 3 / 5 / 9 tracked brands (self + competitors), Base vs High usage</t>
  </si>
  <si>
    <t xml:space="preserve">3-brand</t>
  </si>
  <si>
    <t xml:space="preserve">5-brand</t>
  </si>
  <si>
    <t xml:space="preserve">9-brand</t>
  </si>
  <si>
    <t xml:space="preserve">Cost line (monthly USD)</t>
  </si>
  <si>
    <t xml:space="preserve">Tracked brands (self + competitors)</t>
  </si>
  <si>
    <t xml:space="preserve">Apify (provider scraping) — MAX(floor, ads+organic usage)</t>
  </si>
  <si>
    <t xml:space="preserve">Railway hosting (app + Postgres)</t>
  </si>
  <si>
    <t xml:space="preserve">Cloudflare R2 storage</t>
  </si>
  <si>
    <t xml:space="preserve">AI briefings (Anthropic)</t>
  </si>
  <si>
    <t xml:space="preserve">Email (Resend)</t>
  </si>
  <si>
    <t xml:space="preserve">Support — internal operator effort</t>
  </si>
  <si>
    <t xml:space="preserve">Monthly total (fully loaded)</t>
  </si>
  <si>
    <t xml:space="preserve">ANNUAL total (fully loaded)</t>
  </si>
  <si>
    <t xml:space="preserve">ANNUAL cash cost (excl. internal support labor)</t>
  </si>
  <si>
    <t xml:space="preserve">ANNUAL total in SAR (fully loaded)</t>
  </si>
  <si>
    <t xml:space="preserve">Read: provider (Apify) and internal support dominate; hosting/storage/AI/email are small and near-fixed. The cost delta between 3 and 9 brands is modest — so pricing should NOT be cost-plus per brand (see Pricing).</t>
  </si>
  <si>
    <t xml:space="preserve">Pricing recommendation — annual per dedicated instance (RECOMMENDATION; needs operator sign-off + beta validation)</t>
  </si>
  <si>
    <t xml:space="preserve">Cost is the floor, not the anchor. Shared-seat tools ($9–159/mo ≈ $108–1,908/yr) are NOT comparable to a dedicated, isolated, Arabic-first instance with an executive briefing. Price on value; the model below shows margin is not the constraint.</t>
  </si>
  <si>
    <t xml:space="preserve">Scenario</t>
  </si>
  <si>
    <t xml:space="preserve">Annual USD</t>
  </si>
  <si>
    <t xml:space="preserve">Annual SAR</t>
  </si>
  <si>
    <t xml:space="preserve">Fully-loaded COGS (9-brand High)</t>
  </si>
  <si>
    <t xml:space="preserve">Gross margin</t>
  </si>
  <si>
    <t xml:space="preserve">Notes</t>
  </si>
  <si>
    <t xml:space="preserve">Standard — List (up to 5 competitors)</t>
  </si>
  <si>
    <t xml:space="preserve">Anchor. SAR 96,000. All features, standard isolation.</t>
  </si>
  <si>
    <t xml:space="preserve">Standard — Target</t>
  </si>
  <si>
    <t xml:space="preserve">SAR 75,000. Expected close for a mid-size bank.</t>
  </si>
  <si>
    <t xml:space="preserve">Standard — Floor (approval required)</t>
  </si>
  <si>
    <t xml:space="preserve">SAR 55,000. Below this needs exec sign-off.</t>
  </si>
  <si>
    <t xml:space="preserve">Enterprise exception (up to 9 + separate Cloudflare acct)</t>
  </si>
  <si>
    <t xml:space="preserve">SAR 150,000. Strict-compliance buyers only.</t>
  </si>
  <si>
    <t xml:space="preserve">Beta / design partner (year 1, first 2–3)</t>
  </si>
  <si>
    <t xml:space="preserve">SAR 30,000 (~60% off) for a reference + feedback + case study.</t>
  </si>
  <si>
    <t xml:space="preserve">Provider ceiling per plan (MONTHLY_COST_CEILING_ADS_USD): Standard $60 · Enterprise $120. The ceiling is the margin guardrail.</t>
  </si>
  <si>
    <t xml:space="preserve">Discount authority: Sales → Target freely · Floor needs head-of-function · below Floor needs exec. Record the final decision in docs/DECISIONS.md.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</si>
</sst>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0.00"/>
    <numFmt numFmtId="167" formatCode="0"/>
    <numFmt numFmtId="168" formatCode="\$#,##0;&quot;($&quot;#,##0\);\-"/>
    <numFmt numFmtId="169" formatCode="&quot;SAR&quot;#,##0"/>
    <numFmt numFmtId="170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8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1"/>
    <col collapsed="false" customWidth="true" hidden="false" outlineLevel="0" max="4" min="4" style="0" width="70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</row>
    <row r="5" customFormat="false" ht="19.4" hidden="false" customHeight="false" outlineLevel="0" collapsed="false">
      <c r="A5" s="5" t="s">
        <v>6</v>
      </c>
      <c r="B5" s="6" t="n">
        <v>4.5</v>
      </c>
      <c r="C5" s="6" t="n">
        <v>9</v>
      </c>
      <c r="D5" s="7" t="s">
        <v>7</v>
      </c>
    </row>
    <row r="6" customFormat="false" ht="15" hidden="false" customHeight="false" outlineLevel="0" collapsed="false">
      <c r="A6" s="5" t="s">
        <v>8</v>
      </c>
      <c r="B6" s="6" t="n">
        <v>0.5</v>
      </c>
      <c r="C6" s="6" t="n">
        <v>1.5</v>
      </c>
      <c r="D6" s="7" t="s">
        <v>9</v>
      </c>
    </row>
    <row r="7" customFormat="false" ht="15" hidden="false" customHeight="false" outlineLevel="0" collapsed="false">
      <c r="A7" s="5" t="s">
        <v>10</v>
      </c>
      <c r="B7" s="6" t="n">
        <v>19</v>
      </c>
      <c r="C7" s="6" t="n">
        <v>19</v>
      </c>
      <c r="D7" s="7" t="s">
        <v>11</v>
      </c>
    </row>
    <row r="8" customFormat="false" ht="19.4" hidden="false" customHeight="false" outlineLevel="0" collapsed="false">
      <c r="A8" s="5" t="s">
        <v>12</v>
      </c>
      <c r="B8" s="6" t="n">
        <v>16</v>
      </c>
      <c r="C8" s="6" t="n">
        <v>30</v>
      </c>
      <c r="D8" s="7" t="s">
        <v>13</v>
      </c>
    </row>
    <row r="9" customFormat="false" ht="15" hidden="false" customHeight="false" outlineLevel="0" collapsed="false">
      <c r="A9" s="5" t="s">
        <v>14</v>
      </c>
      <c r="B9" s="6" t="n">
        <v>0.25</v>
      </c>
      <c r="C9" s="6" t="n">
        <v>2</v>
      </c>
      <c r="D9" s="7" t="s">
        <v>15</v>
      </c>
    </row>
    <row r="10" customFormat="false" ht="19.4" hidden="false" customHeight="false" outlineLevel="0" collapsed="false">
      <c r="A10" s="5" t="s">
        <v>16</v>
      </c>
      <c r="B10" s="6" t="n">
        <v>2</v>
      </c>
      <c r="C10" s="6" t="n">
        <v>5</v>
      </c>
      <c r="D10" s="7" t="s">
        <v>17</v>
      </c>
    </row>
    <row r="11" customFormat="false" ht="15" hidden="false" customHeight="false" outlineLevel="0" collapsed="false">
      <c r="A11" s="5" t="s">
        <v>18</v>
      </c>
      <c r="B11" s="6" t="n">
        <v>0</v>
      </c>
      <c r="C11" s="6" t="n">
        <v>1</v>
      </c>
      <c r="D11" s="7" t="s">
        <v>19</v>
      </c>
    </row>
    <row r="12" customFormat="false" ht="19.4" hidden="false" customHeight="false" outlineLevel="0" collapsed="false">
      <c r="A12" s="5" t="s">
        <v>20</v>
      </c>
      <c r="B12" s="6" t="n">
        <v>25</v>
      </c>
      <c r="C12" s="6" t="n">
        <v>75</v>
      </c>
      <c r="D12" s="7" t="s">
        <v>21</v>
      </c>
    </row>
    <row r="14" customFormat="false" ht="15" hidden="false" customHeight="false" outlineLevel="0" collapsed="false">
      <c r="A14" s="8" t="s">
        <v>22</v>
      </c>
      <c r="B14" s="9" t="n">
        <v>3.75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8" min="3" style="0" width="12"/>
  </cols>
  <sheetData>
    <row r="1" customFormat="false" ht="16.15" hidden="false" customHeight="false" outlineLevel="0" collapsed="false">
      <c r="A1" s="1" t="s">
        <v>23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C2" s="4" t="s">
        <v>24</v>
      </c>
      <c r="D2" s="4" t="s">
        <v>24</v>
      </c>
      <c r="E2" s="4" t="s">
        <v>25</v>
      </c>
      <c r="F2" s="4" t="s">
        <v>25</v>
      </c>
      <c r="G2" s="4" t="s">
        <v>26</v>
      </c>
      <c r="H2" s="4" t="s">
        <v>26</v>
      </c>
    </row>
    <row r="3" customFormat="false" ht="15" hidden="false" customHeight="false" outlineLevel="0" collapsed="false">
      <c r="A3" s="10" t="s">
        <v>27</v>
      </c>
      <c r="C3" s="4" t="s">
        <v>3</v>
      </c>
      <c r="D3" s="4" t="s">
        <v>4</v>
      </c>
      <c r="E3" s="4" t="s">
        <v>3</v>
      </c>
      <c r="F3" s="4" t="s">
        <v>4</v>
      </c>
      <c r="G3" s="4" t="s">
        <v>3</v>
      </c>
      <c r="H3" s="4" t="s">
        <v>4</v>
      </c>
    </row>
    <row r="4" customFormat="false" ht="15" hidden="false" customHeight="false" outlineLevel="0" collapsed="false">
      <c r="A4" s="11" t="s">
        <v>28</v>
      </c>
      <c r="C4" s="12" t="n">
        <v>3</v>
      </c>
      <c r="D4" s="12" t="n">
        <v>3</v>
      </c>
      <c r="E4" s="12" t="n">
        <v>5</v>
      </c>
      <c r="F4" s="12" t="n">
        <v>5</v>
      </c>
      <c r="G4" s="12" t="n">
        <v>9</v>
      </c>
      <c r="H4" s="12" t="n">
        <v>9</v>
      </c>
    </row>
    <row r="5" customFormat="false" ht="15" hidden="false" customHeight="false" outlineLevel="0" collapsed="false">
      <c r="A5" s="5" t="s">
        <v>29</v>
      </c>
      <c r="C5" s="13" t="n">
        <f aca="false">MAX(Assumptions!$B$7, (Assumptions!$B$5+Assumptions!$B$6)*C$4)</f>
        <v>19</v>
      </c>
      <c r="D5" s="13" t="n">
        <f aca="false">MAX(Assumptions!$C$7, (Assumptions!$C$5+Assumptions!$C$6)*D$4)</f>
        <v>31.5</v>
      </c>
      <c r="E5" s="13" t="n">
        <f aca="false">MAX(Assumptions!$B$7, (Assumptions!$B$5+Assumptions!$B$6)*E$4)</f>
        <v>25</v>
      </c>
      <c r="F5" s="13" t="n">
        <f aca="false">MAX(Assumptions!$C$7, (Assumptions!$C$5+Assumptions!$C$6)*F$4)</f>
        <v>52.5</v>
      </c>
      <c r="G5" s="13" t="n">
        <f aca="false">MAX(Assumptions!$B$7, (Assumptions!$B$5+Assumptions!$B$6)*G$4)</f>
        <v>45</v>
      </c>
      <c r="H5" s="13" t="n">
        <f aca="false">MAX(Assumptions!$C$7, (Assumptions!$C$5+Assumptions!$C$6)*H$4)</f>
        <v>94.5</v>
      </c>
    </row>
    <row r="6" customFormat="false" ht="15" hidden="false" customHeight="false" outlineLevel="0" collapsed="false">
      <c r="A6" s="5" t="s">
        <v>30</v>
      </c>
      <c r="C6" s="13" t="n">
        <f aca="false">Assumptions!$B$8</f>
        <v>16</v>
      </c>
      <c r="D6" s="13" t="n">
        <f aca="false">Assumptions!$C$8</f>
        <v>30</v>
      </c>
      <c r="E6" s="13" t="n">
        <f aca="false">Assumptions!$B$8</f>
        <v>16</v>
      </c>
      <c r="F6" s="13" t="n">
        <f aca="false">Assumptions!$C$8</f>
        <v>30</v>
      </c>
      <c r="G6" s="13" t="n">
        <f aca="false">Assumptions!$B$8</f>
        <v>16</v>
      </c>
      <c r="H6" s="13" t="n">
        <f aca="false">Assumptions!$C$8</f>
        <v>30</v>
      </c>
    </row>
    <row r="7" customFormat="false" ht="15" hidden="false" customHeight="false" outlineLevel="0" collapsed="false">
      <c r="A7" s="5" t="s">
        <v>31</v>
      </c>
      <c r="C7" s="13" t="n">
        <f aca="false">Assumptions!$B$9</f>
        <v>0.25</v>
      </c>
      <c r="D7" s="13" t="n">
        <f aca="false">Assumptions!$C$9</f>
        <v>2</v>
      </c>
      <c r="E7" s="13" t="n">
        <f aca="false">Assumptions!$B$9</f>
        <v>0.25</v>
      </c>
      <c r="F7" s="13" t="n">
        <f aca="false">Assumptions!$C$9</f>
        <v>2</v>
      </c>
      <c r="G7" s="13" t="n">
        <f aca="false">Assumptions!$B$9</f>
        <v>0.25</v>
      </c>
      <c r="H7" s="13" t="n">
        <f aca="false">Assumptions!$C$9</f>
        <v>2</v>
      </c>
    </row>
    <row r="8" customFormat="false" ht="15" hidden="false" customHeight="false" outlineLevel="0" collapsed="false">
      <c r="A8" s="5" t="s">
        <v>32</v>
      </c>
      <c r="C8" s="13" t="n">
        <f aca="false">Assumptions!$B$10</f>
        <v>2</v>
      </c>
      <c r="D8" s="13" t="n">
        <f aca="false">Assumptions!$C$10</f>
        <v>5</v>
      </c>
      <c r="E8" s="13" t="n">
        <f aca="false">Assumptions!$B$10</f>
        <v>2</v>
      </c>
      <c r="F8" s="13" t="n">
        <f aca="false">Assumptions!$C$10</f>
        <v>5</v>
      </c>
      <c r="G8" s="13" t="n">
        <f aca="false">Assumptions!$B$10</f>
        <v>2</v>
      </c>
      <c r="H8" s="13" t="n">
        <f aca="false">Assumptions!$C$10</f>
        <v>5</v>
      </c>
    </row>
    <row r="9" customFormat="false" ht="15" hidden="false" customHeight="false" outlineLevel="0" collapsed="false">
      <c r="A9" s="5" t="s">
        <v>33</v>
      </c>
      <c r="C9" s="13" t="n">
        <f aca="false">Assumptions!$B$11</f>
        <v>0</v>
      </c>
      <c r="D9" s="13" t="n">
        <f aca="false">Assumptions!$C$11</f>
        <v>1</v>
      </c>
      <c r="E9" s="13" t="n">
        <f aca="false">Assumptions!$B$11</f>
        <v>0</v>
      </c>
      <c r="F9" s="13" t="n">
        <f aca="false">Assumptions!$C$11</f>
        <v>1</v>
      </c>
      <c r="G9" s="13" t="n">
        <f aca="false">Assumptions!$B$11</f>
        <v>0</v>
      </c>
      <c r="H9" s="13" t="n">
        <f aca="false">Assumptions!$C$11</f>
        <v>1</v>
      </c>
    </row>
    <row r="10" customFormat="false" ht="15" hidden="false" customHeight="false" outlineLevel="0" collapsed="false">
      <c r="A10" s="5" t="s">
        <v>34</v>
      </c>
      <c r="C10" s="13" t="n">
        <f aca="false">Assumptions!$B$12</f>
        <v>25</v>
      </c>
      <c r="D10" s="13" t="n">
        <f aca="false">Assumptions!$C$12</f>
        <v>75</v>
      </c>
      <c r="E10" s="13" t="n">
        <f aca="false">Assumptions!$B$12</f>
        <v>25</v>
      </c>
      <c r="F10" s="13" t="n">
        <f aca="false">Assumptions!$C$12</f>
        <v>75</v>
      </c>
      <c r="G10" s="13" t="n">
        <f aca="false">Assumptions!$B$12</f>
        <v>25</v>
      </c>
      <c r="H10" s="13" t="n">
        <f aca="false">Assumptions!$C$12</f>
        <v>75</v>
      </c>
    </row>
    <row r="11" customFormat="false" ht="15" hidden="false" customHeight="false" outlineLevel="0" collapsed="false">
      <c r="A11" s="14" t="s">
        <v>35</v>
      </c>
      <c r="C11" s="15" t="n">
        <f aca="false">SUM(C5:C10)</f>
        <v>62.25</v>
      </c>
      <c r="D11" s="15" t="n">
        <f aca="false">SUM(D5:D10)</f>
        <v>144.5</v>
      </c>
      <c r="E11" s="15" t="n">
        <f aca="false">SUM(E5:E10)</f>
        <v>68.25</v>
      </c>
      <c r="F11" s="15" t="n">
        <f aca="false">SUM(F5:F10)</f>
        <v>165.5</v>
      </c>
      <c r="G11" s="15" t="n">
        <f aca="false">SUM(G5:G10)</f>
        <v>88.25</v>
      </c>
      <c r="H11" s="15" t="n">
        <f aca="false">SUM(H5:H10)</f>
        <v>207.5</v>
      </c>
    </row>
    <row r="12" customFormat="false" ht="15" hidden="false" customHeight="false" outlineLevel="0" collapsed="false">
      <c r="A12" s="14" t="s">
        <v>36</v>
      </c>
      <c r="C12" s="15" t="n">
        <f aca="false">C11*12</f>
        <v>747</v>
      </c>
      <c r="D12" s="15" t="n">
        <f aca="false">D11*12</f>
        <v>1734</v>
      </c>
      <c r="E12" s="15" t="n">
        <f aca="false">E11*12</f>
        <v>819</v>
      </c>
      <c r="F12" s="15" t="n">
        <f aca="false">F11*12</f>
        <v>1986</v>
      </c>
      <c r="G12" s="15" t="n">
        <f aca="false">G11*12</f>
        <v>1059</v>
      </c>
      <c r="H12" s="15" t="n">
        <f aca="false">H11*12</f>
        <v>2490</v>
      </c>
    </row>
    <row r="13" customFormat="false" ht="15" hidden="false" customHeight="false" outlineLevel="0" collapsed="false">
      <c r="A13" s="8" t="s">
        <v>37</v>
      </c>
      <c r="C13" s="13" t="n">
        <f aca="false">(C11-C10)*12</f>
        <v>447</v>
      </c>
      <c r="D13" s="13" t="n">
        <f aca="false">(D11-D10)*12</f>
        <v>834</v>
      </c>
      <c r="E13" s="13" t="n">
        <f aca="false">(E11-E10)*12</f>
        <v>519</v>
      </c>
      <c r="F13" s="13" t="n">
        <f aca="false">(F11-F10)*12</f>
        <v>1086</v>
      </c>
      <c r="G13" s="13" t="n">
        <f aca="false">(G11-G10)*12</f>
        <v>759</v>
      </c>
      <c r="H13" s="13" t="n">
        <f aca="false">(H11-H10)*12</f>
        <v>1590</v>
      </c>
    </row>
    <row r="14" customFormat="false" ht="15" hidden="false" customHeight="false" outlineLevel="0" collapsed="false">
      <c r="A14" s="8" t="s">
        <v>38</v>
      </c>
      <c r="C14" s="16" t="n">
        <f aca="false">C12*Assumptions!$B$14</f>
        <v>2801.25</v>
      </c>
      <c r="D14" s="16" t="n">
        <f aca="false">D12*Assumptions!$B$14</f>
        <v>6502.5</v>
      </c>
      <c r="E14" s="16" t="n">
        <f aca="false">E12*Assumptions!$B$14</f>
        <v>3071.25</v>
      </c>
      <c r="F14" s="16" t="n">
        <f aca="false">F12*Assumptions!$B$14</f>
        <v>7447.5</v>
      </c>
      <c r="G14" s="16" t="n">
        <f aca="false">G12*Assumptions!$B$14</f>
        <v>3971.25</v>
      </c>
      <c r="H14" s="16" t="n">
        <f aca="false">H12*Assumptions!$B$14</f>
        <v>9337.5</v>
      </c>
    </row>
    <row r="16" customFormat="false" ht="15" hidden="false" customHeight="false" outlineLevel="0" collapsed="false">
      <c r="A16" s="2" t="s">
        <v>39</v>
      </c>
      <c r="B16" s="2"/>
      <c r="C16" s="2"/>
      <c r="D16" s="2"/>
      <c r="E16" s="2"/>
      <c r="F16" s="2"/>
      <c r="G16" s="2"/>
      <c r="H16" s="2"/>
    </row>
  </sheetData>
  <mergeCells count="2">
    <mergeCell ref="A1:H1"/>
    <mergeCell ref="A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6"/>
    <col collapsed="false" customWidth="true" hidden="false" outlineLevel="0" max="5" min="5" style="0" width="12"/>
    <col collapsed="false" customWidth="true" hidden="false" outlineLevel="0" max="6" min="6" style="0" width="40"/>
  </cols>
  <sheetData>
    <row r="1" customFormat="false" ht="16.15" hidden="false" customHeight="false" outlineLevel="0" collapsed="false">
      <c r="A1" s="1" t="s">
        <v>40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41</v>
      </c>
      <c r="B2" s="2"/>
      <c r="C2" s="2"/>
      <c r="D2" s="2"/>
      <c r="E2" s="2"/>
      <c r="F2" s="2"/>
    </row>
    <row r="4" customFormat="false" ht="39.55" hidden="false" customHeight="false" outlineLevel="0" collapsed="false">
      <c r="A4" s="17" t="s">
        <v>42</v>
      </c>
      <c r="B4" s="18" t="s">
        <v>43</v>
      </c>
      <c r="C4" s="18" t="s">
        <v>44</v>
      </c>
      <c r="D4" s="18" t="s">
        <v>45</v>
      </c>
      <c r="E4" s="18" t="s">
        <v>46</v>
      </c>
      <c r="F4" s="18" t="s">
        <v>47</v>
      </c>
    </row>
    <row r="5" customFormat="false" ht="15" hidden="false" customHeight="false" outlineLevel="0" collapsed="false">
      <c r="A5" s="5" t="s">
        <v>48</v>
      </c>
      <c r="B5" s="19" t="n">
        <v>25600</v>
      </c>
      <c r="C5" s="16" t="n">
        <f aca="false">B5*Assumptions!$B$14</f>
        <v>96000</v>
      </c>
      <c r="D5" s="13" t="n">
        <f aca="false">CostModel!$H$12</f>
        <v>2490</v>
      </c>
      <c r="E5" s="20" t="n">
        <f aca="false">(B5-D5)/B5</f>
        <v>0.902734375</v>
      </c>
      <c r="F5" s="21" t="s">
        <v>49</v>
      </c>
    </row>
    <row r="6" customFormat="false" ht="15" hidden="false" customHeight="false" outlineLevel="0" collapsed="false">
      <c r="A6" s="5" t="s">
        <v>50</v>
      </c>
      <c r="B6" s="19" t="n">
        <v>20000</v>
      </c>
      <c r="C6" s="16" t="n">
        <f aca="false">B6*Assumptions!$B$14</f>
        <v>75000</v>
      </c>
      <c r="D6" s="13" t="n">
        <f aca="false">CostModel!$H$12</f>
        <v>2490</v>
      </c>
      <c r="E6" s="20" t="n">
        <f aca="false">(B6-D6)/B6</f>
        <v>0.8755</v>
      </c>
      <c r="F6" s="21" t="s">
        <v>51</v>
      </c>
    </row>
    <row r="7" customFormat="false" ht="15" hidden="false" customHeight="false" outlineLevel="0" collapsed="false">
      <c r="A7" s="5" t="s">
        <v>52</v>
      </c>
      <c r="B7" s="19" t="n">
        <v>14667</v>
      </c>
      <c r="C7" s="16" t="n">
        <f aca="false">B7*Assumptions!$B$14</f>
        <v>55001.25</v>
      </c>
      <c r="D7" s="13" t="n">
        <f aca="false">CostModel!$H$12</f>
        <v>2490</v>
      </c>
      <c r="E7" s="20" t="n">
        <f aca="false">(B7-D7)/B7</f>
        <v>0.830231131110657</v>
      </c>
      <c r="F7" s="21" t="s">
        <v>53</v>
      </c>
    </row>
    <row r="8" customFormat="false" ht="15" hidden="false" customHeight="false" outlineLevel="0" collapsed="false">
      <c r="A8" s="5" t="s">
        <v>54</v>
      </c>
      <c r="B8" s="19" t="n">
        <v>40000</v>
      </c>
      <c r="C8" s="16" t="n">
        <f aca="false">B8*Assumptions!$B$14</f>
        <v>150000</v>
      </c>
      <c r="D8" s="13" t="n">
        <f aca="false">CostModel!$H$12</f>
        <v>2490</v>
      </c>
      <c r="E8" s="20" t="n">
        <f aca="false">(B8-D8)/B8</f>
        <v>0.93775</v>
      </c>
      <c r="F8" s="21" t="s">
        <v>55</v>
      </c>
    </row>
    <row r="9" customFormat="false" ht="19.4" hidden="false" customHeight="false" outlineLevel="0" collapsed="false">
      <c r="A9" s="5" t="s">
        <v>56</v>
      </c>
      <c r="B9" s="19" t="n">
        <v>8000</v>
      </c>
      <c r="C9" s="16" t="n">
        <f aca="false">B9*Assumptions!$B$14</f>
        <v>30000</v>
      </c>
      <c r="D9" s="13" t="n">
        <f aca="false">CostModel!$H$12</f>
        <v>2490</v>
      </c>
      <c r="E9" s="20" t="n">
        <f aca="false">(B9-D9)/B9</f>
        <v>0.68875</v>
      </c>
      <c r="F9" s="21" t="s">
        <v>57</v>
      </c>
    </row>
    <row r="11" customFormat="false" ht="15" hidden="false" customHeight="false" outlineLevel="0" collapsed="false">
      <c r="A11" s="2" t="s">
        <v>58</v>
      </c>
      <c r="B11" s="2"/>
      <c r="C11" s="2"/>
      <c r="D11" s="2"/>
      <c r="E11" s="2"/>
      <c r="F11" s="2"/>
    </row>
    <row r="12" customFormat="false" ht="15" hidden="false" customHeight="false" outlineLevel="0" collapsed="false">
      <c r="A12" s="2" t="s">
        <v>59</v>
      </c>
      <c r="B12" s="2"/>
      <c r="C12" s="2"/>
      <c r="D12" s="2"/>
      <c r="E12" s="2"/>
      <c r="F12" s="2"/>
    </row>
  </sheetData>
  <mergeCells count="4">
    <mergeCell ref="A1:F1"/>
    <mergeCell ref="A2:F2"/>
    <mergeCell ref="A11:F11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2026-09-02T06:22:18Z</dcterms:created>
  <dc:creator>openpyxl</dc:creator>
  <dc:description/>
  <dc:language>en-US</dc:language>
  <cp:lastModifiedBy/>
  <dcterms:modified xsi:type="dcterms:W3CDTF">2026-09-02T06:22:18Z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